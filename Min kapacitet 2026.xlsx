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etgruppen.sharepoint.com/sites/HR/DMP/"/>
    </mc:Choice>
  </mc:AlternateContent>
  <xr:revisionPtr revIDLastSave="450" documentId="8_{DC9913AB-C68F-4B0C-8C0C-0D3C1EE6F266}" xr6:coauthVersionLast="47" xr6:coauthVersionMax="47" xr10:uidLastSave="{AC078821-A836-4D62-9C23-6E77B8DAC3DF}"/>
  <bookViews>
    <workbookView xWindow="-110" yWindow="-110" windowWidth="19420" windowHeight="11500" xr2:uid="{00000000-000D-0000-FFFF-FFFF00000000}"/>
  </bookViews>
  <sheets>
    <sheet name="Mit overblik" sheetId="1" r:id="rId1"/>
    <sheet name="Mine opgaver" sheetId="2" r:id="rId2"/>
    <sheet name="Ugekapacitet" sheetId="4" r:id="rId3"/>
    <sheet name="Tabeller" sheetId="5" r:id="rId4"/>
    <sheet name="Kapacitet" sheetId="3" r:id="rId5"/>
  </sheets>
  <definedNames>
    <definedName name="_xlnm._FilterDatabase" localSheetId="1" hidden="1">'Mine opgaver'!$A$2:$H$2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8" i="4"/>
  <c r="C11" i="4"/>
  <c r="C10" i="4"/>
  <c r="C9" i="4"/>
  <c r="D9" i="4" s="1"/>
  <c r="C7" i="4"/>
  <c r="D7" i="4" s="1"/>
  <c r="D8" i="4"/>
  <c r="D2" i="4"/>
  <c r="D30" i="4"/>
  <c r="D31" i="4"/>
  <c r="D29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1" i="4"/>
  <c r="D22" i="4"/>
  <c r="D23" i="4"/>
  <c r="D24" i="4"/>
  <c r="D25" i="4"/>
  <c r="D20" i="4"/>
  <c r="D19" i="4"/>
  <c r="D18" i="4"/>
  <c r="D17" i="4"/>
  <c r="D10" i="4"/>
  <c r="D11" i="4"/>
  <c r="D12" i="4"/>
  <c r="D13" i="4"/>
  <c r="D3" i="4"/>
  <c r="D4" i="4"/>
  <c r="B6" i="3"/>
  <c r="C15" i="4"/>
  <c r="D15" i="4" s="1"/>
  <c r="C14" i="4"/>
  <c r="C13" i="4"/>
  <c r="C6" i="4"/>
  <c r="D6" i="4" s="1"/>
  <c r="D5" i="4"/>
  <c r="D14" i="4"/>
  <c r="D16" i="4"/>
  <c r="C31" i="4"/>
  <c r="C30" i="4"/>
  <c r="B3" i="3"/>
  <c r="B8" i="3" s="1"/>
  <c r="B4" i="1" l="1"/>
  <c r="B6" i="1" s="1"/>
  <c r="B11" i="1" s="1"/>
  <c r="B7" i="1" l="1"/>
</calcChain>
</file>

<file path=xl/sharedStrings.xml><?xml version="1.0" encoding="utf-8"?>
<sst xmlns="http://schemas.openxmlformats.org/spreadsheetml/2006/main" count="95" uniqueCount="90">
  <si>
    <t>Mit overblik</t>
  </si>
  <si>
    <t>Måling</t>
  </si>
  <si>
    <t>Værdi</t>
  </si>
  <si>
    <t>Valgt uge</t>
  </si>
  <si>
    <t>2026-W04</t>
  </si>
  <si>
    <t>Kapacitet (timer)</t>
  </si>
  <si>
    <t>Planlagt load (timer)</t>
  </si>
  <si>
    <t>Udnyttelse</t>
  </si>
  <si>
    <t>Status</t>
  </si>
  <si>
    <t>Mine opgaver</t>
  </si>
  <si>
    <t>Opgave</t>
  </si>
  <si>
    <t>Estimat (timer)</t>
  </si>
  <si>
    <t>Uge</t>
  </si>
  <si>
    <t>Prioritet</t>
  </si>
  <si>
    <t>Udsat</t>
  </si>
  <si>
    <t>I gang</t>
  </si>
  <si>
    <t>Planlagt</t>
  </si>
  <si>
    <t>Forklaring</t>
  </si>
  <si>
    <t>Hver række en opgave</t>
  </si>
  <si>
    <t>Min kapacitet</t>
  </si>
  <si>
    <t>Parameter</t>
  </si>
  <si>
    <t>Timer</t>
  </si>
  <si>
    <t>Arbejdstiver pr. uge</t>
  </si>
  <si>
    <t>Faste pauser</t>
  </si>
  <si>
    <t>Netto arbejdstid</t>
  </si>
  <si>
    <t>Fokus faktor</t>
  </si>
  <si>
    <t>Planlægningskapacitet</t>
  </si>
  <si>
    <t>Normtid</t>
  </si>
  <si>
    <t>Ferie/fravær i timer</t>
  </si>
  <si>
    <t>2026-W01</t>
  </si>
  <si>
    <t>2026-W02</t>
  </si>
  <si>
    <t>2026-W03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</si>
  <si>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</si>
  <si>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</si>
  <si>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</si>
  <si>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</si>
  <si>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</si>
  <si>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</si>
  <si>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</si>
  <si>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</si>
  <si>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</si>
  <si>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</si>
  <si>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</si>
  <si>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</si>
  <si>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</si>
  <si>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</si>
  <si>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</si>
  <si>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</si>
  <si>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</si>
  <si>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</si>
  <si>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</si>
  <si>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</si>
  <si>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</si>
  <si>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</si>
  <si>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</si>
  <si>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</si>
  <si>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</si>
  <si>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</si>
  <si>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</si>
  <si>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</si>
  <si>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</si>
  <si>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</si>
  <si>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</si>
  <si>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</si>
  <si>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</si>
  <si>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</si>
  <si>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</si>
  <si>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</si>
  <si>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</si>
  <si>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</si>
  <si>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</si>
  <si>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</si>
  <si>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</si>
  <si>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</si>
  <si>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</si>
  <si>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</si>
  <si>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</si>
  <si>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</si>
  <si>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</si>
  <si>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</si>
  <si>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Tabeller</t>
  </si>
  <si>
    <t>Ikke startet</t>
  </si>
  <si>
    <t>Færdig</t>
  </si>
  <si>
    <t>2026-W53</t>
  </si>
  <si>
    <t>Ugekapacitet</t>
  </si>
  <si>
    <t>Aktuel uge</t>
  </si>
  <si>
    <t>Tid til ad hoc-opgaver</t>
  </si>
  <si>
    <t>Planlagt opstartsuge</t>
  </si>
  <si>
    <t>Deadline</t>
  </si>
  <si>
    <t>Kommentarer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</si>
</sst>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/>
  </cellStyleXfs>
  <cellXfs count="2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9" fontId="0" fillId="0" borderId="1" xfId="1" applyFont="1" applyBorder="1"/>
    <xf numFmtId="0" fontId="0" fillId="0" borderId="1" xfId="0" applyBorder="1" applyAlignment="1">
      <alignment horizontal="right"/>
    </xf>
    <xf numFmtId="0" fontId="1" fillId="3" borderId="0" xfId="0" applyFont="1" applyFill="1"/>
    <xf numFmtId="0" fontId="0" fillId="3" borderId="0" xfId="0" applyFill="1"/>
    <xf numFmtId="0" fontId="3" fillId="4" borderId="0" xfId="0" applyFont="1" applyFill="1"/>
    <xf numFmtId="0" fontId="1" fillId="0" borderId="0" xfId="0" applyFont="1" applyAlignment="1">
      <alignment horizontal="right"/>
    </xf>
    <xf numFmtId="0" fontId="1" fillId="5" borderId="0" xfId="0" applyFont="1" applyFill="1"/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0" fontId="1" fillId="2" borderId="3" xfId="0" applyFont="1" applyFill="1" applyBorder="1"/>
    <xf numFmtId="0" fontId="6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17" fontId="0" fillId="0" borderId="1" xfId="0" quotePrefix="1" applyNumberFormat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7" fontId="0" fillId="0" borderId="1" xfId="0" quotePrefix="1" applyNumberFormat="1" applyBorder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rocent" xfId="1" builtinId="5"/>
  </cellStyles>
  <dxfs count="12">
    <dxf>
      <fill>
        <patternFill>
          <bgColor theme="2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gray125"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4" sqref="B4"/>
    </sheetView>
  </sheetViews>
  <sheetFormatPr defaultRowHeight="14.5" x14ac:dyDescent="0.35"/>
  <cols>
    <col min="1" max="1" width="22.453125" customWidth="1"/>
    <col min="2" max="2" width="40.81640625" bestFit="1" customWidth="1"/>
  </cols>
  <sheetData>
    <row r="1" spans="1:2" x14ac:dyDescent="0.35">
      <c r="A1" s="1" t="s">
        <v>0</v>
      </c>
    </row>
    <row r="2" spans="1:2" x14ac:dyDescent="0.35">
      <c r="A2" s="4" t="s">
        <v>1</v>
      </c>
      <c r="B2" s="4" t="s">
        <v>2</v>
      </c>
    </row>
    <row r="3" spans="1:2" x14ac:dyDescent="0.35">
      <c r="A3" s="3" t="s">
        <v>3</v>
      </c>
      <c r="B3" s="13" t="s">
        <v>34</v>
      </c>
    </row>
    <row r="4" spans="1:2" x14ac:dyDescent="0.35">
      <c r="A4" s="3" t="s">
        <v>5</v>
      </c>
      <c r="B4" s="12">
        <f>IFERROR(INDEX(Ugekapacitet!$D$2:$D$60,MATCH(TRIM($B$3),Ugekapacitet!$A$2:$A$60,0)),0)</f>
        <v>16.125</v>
      </c>
    </row>
    <row r="5" spans="1:2" x14ac:dyDescent="0.35">
      <c r="A5" t="s">
        <v>6</v>
      </c>
      <c r="B5" s="12">
        <f>SUMIFS('Mine opgaver'!$B$3:$B$200,'Mine opgaver'!$F$3:$F$200,$B$3,'Mine opgaver'!$E$3:$E$200,"&lt;&gt;Færdig")</f>
        <v>0</v>
      </c>
    </row>
    <row r="6" spans="1:2" x14ac:dyDescent="0.35">
      <c r="A6" s="3" t="s">
        <v>7</v>
      </c>
      <c r="B6" s="5">
        <f>B5/B4</f>
        <v>0</v>
      </c>
    </row>
    <row r="7" spans="1:2" hidden="1" x14ac:dyDescent="0.35">
      <c r="A7" s="3" t="s">
        <v>8</v>
      </c>
      <c r="B7" s="3" t="str">
        <f>IF(B6&gt;1, "For meget", IF(B6&gt;0.85, "Presset", "OK"))</f>
        <v>OK</v>
      </c>
    </row>
    <row r="8" spans="1:2" hidden="1" x14ac:dyDescent="0.35">
      <c r="A8" s="3"/>
      <c r="B8" s="3"/>
    </row>
    <row r="9" spans="1:2" hidden="1" x14ac:dyDescent="0.35">
      <c r="A9" s="3"/>
      <c r="B9" s="3"/>
    </row>
    <row r="10" spans="1:2" hidden="1" x14ac:dyDescent="0.35">
      <c r="A10" s="16"/>
      <c r="B10" s="16"/>
    </row>
    <row r="11" spans="1:2" x14ac:dyDescent="0.35">
      <c r="A11" s="3" t="s">
        <v>8</v>
      </c>
      <c r="B11" s="6" t="str">
        <f>IF(B6=0,"Ingen planlagte opgaver",IF(B6&gt;1,"Over kapacitet – der skal fravælges eller rykkes",IF(B6&gt;0.85,"Højt pres – begrænset fleksibilitet","Inden for kapacitet")))</f>
        <v>Ingen planlagte opgaver</v>
      </c>
    </row>
    <row r="21" spans="10:10" x14ac:dyDescent="0.35">
      <c r="J21" s="15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51BF23E-5FB2-404E-A6C4-33437EB7C92C}">
          <x14:formula1>
            <xm:f>Ugekapacitet!$A$2:$A$54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topLeftCell="A9" zoomScaleNormal="100" workbookViewId="0">
      <selection activeCell="E17" sqref="E17"/>
    </sheetView>
  </sheetViews>
  <sheetFormatPr defaultRowHeight="14.5" x14ac:dyDescent="0.35"/>
  <cols>
    <col min="1" max="1" width="42.7265625" bestFit="1" customWidth="1"/>
    <col min="2" max="2" width="15.81640625" bestFit="1" customWidth="1"/>
    <col min="3" max="3" width="20.26953125" bestFit="1" customWidth="1"/>
    <col min="4" max="4" width="11.81640625" hidden="1" customWidth="1"/>
    <col min="5" max="5" width="12.54296875" customWidth="1"/>
    <col min="6" max="6" width="15.1796875" customWidth="1"/>
    <col min="7" max="7" width="14" bestFit="1" customWidth="1"/>
    <col min="8" max="8" width="26.54296875" customWidth="1"/>
    <col min="9" max="9" width="18.6328125" customWidth="1"/>
  </cols>
  <sheetData>
    <row r="1" spans="1:9" ht="16" x14ac:dyDescent="0.4">
      <c r="A1" s="18" t="s">
        <v>9</v>
      </c>
      <c r="B1" s="3"/>
      <c r="C1" s="3"/>
      <c r="D1" s="3"/>
      <c r="E1" s="3"/>
    </row>
    <row r="2" spans="1:9" x14ac:dyDescent="0.35">
      <c r="A2" s="4" t="s">
        <v>10</v>
      </c>
      <c r="B2" s="4" t="s">
        <v>11</v>
      </c>
      <c r="C2" s="4" t="s">
        <v>87</v>
      </c>
      <c r="D2" s="4" t="s">
        <v>13</v>
      </c>
      <c r="E2" s="4" t="s">
        <v>8</v>
      </c>
      <c r="F2" s="17" t="s">
        <v>85</v>
      </c>
      <c r="G2" s="4" t="s">
        <v>88</v>
      </c>
      <c r="H2" s="22" t="s">
        <v>89</v>
      </c>
    </row>
    <row r="3" spans="1:9" x14ac:dyDescent="0.35">
      <c r="A3" s="3"/>
      <c r="B3" s="14"/>
      <c r="C3" s="3"/>
      <c r="D3" s="3"/>
      <c r="E3" s="3"/>
      <c r="F3" s="3"/>
      <c r="G3" s="3"/>
      <c r="H3" s="23"/>
    </row>
    <row r="4" spans="1:9" x14ac:dyDescent="0.35">
      <c r="A4" s="3"/>
      <c r="B4" s="14"/>
      <c r="C4" s="3"/>
      <c r="D4" s="3"/>
      <c r="E4" s="3"/>
      <c r="F4" s="3"/>
      <c r="G4" s="3"/>
      <c r="H4" s="23"/>
    </row>
    <row r="5" spans="1:9" x14ac:dyDescent="0.35">
      <c r="A5" s="3"/>
      <c r="B5" s="14"/>
      <c r="C5" s="3"/>
      <c r="D5" s="3"/>
      <c r="E5" s="3"/>
      <c r="F5" s="3"/>
      <c r="G5" s="3"/>
      <c r="H5" s="23"/>
      <c r="I5" s="7" t="s">
        <v>17</v>
      </c>
    </row>
    <row r="6" spans="1:9" x14ac:dyDescent="0.35">
      <c r="A6" s="3"/>
      <c r="B6" s="14"/>
      <c r="C6" s="3"/>
      <c r="D6" s="3"/>
      <c r="E6" s="3"/>
      <c r="F6" s="3"/>
      <c r="G6" s="3"/>
      <c r="H6" s="23"/>
      <c r="I6" s="8" t="s">
        <v>18</v>
      </c>
    </row>
    <row r="7" spans="1:9" x14ac:dyDescent="0.35">
      <c r="A7" s="3"/>
      <c r="B7" s="14"/>
      <c r="C7" s="3"/>
      <c r="D7" s="3"/>
      <c r="E7" s="3"/>
      <c r="F7" s="3"/>
      <c r="G7" s="3"/>
      <c r="H7" s="23"/>
      <c r="I7" s="8"/>
    </row>
    <row r="8" spans="1:9" x14ac:dyDescent="0.35">
      <c r="A8" s="3"/>
      <c r="B8" s="14"/>
      <c r="C8" s="3"/>
      <c r="D8" s="3"/>
      <c r="E8" s="3"/>
      <c r="F8" s="3"/>
      <c r="G8" s="3"/>
      <c r="H8" s="23"/>
    </row>
    <row r="9" spans="1:9" x14ac:dyDescent="0.35">
      <c r="A9" s="3"/>
      <c r="B9" s="14"/>
      <c r="C9" s="3"/>
      <c r="D9" s="3"/>
      <c r="E9" s="3"/>
      <c r="F9" s="3"/>
      <c r="G9" s="3"/>
      <c r="H9" s="23"/>
    </row>
    <row r="10" spans="1:9" x14ac:dyDescent="0.35">
      <c r="A10" s="3"/>
      <c r="B10" s="14"/>
      <c r="C10" s="3"/>
      <c r="D10" s="3"/>
      <c r="E10" s="3"/>
      <c r="F10" s="3"/>
      <c r="G10" s="21"/>
      <c r="H10" s="24"/>
    </row>
    <row r="11" spans="1:9" x14ac:dyDescent="0.35">
      <c r="A11" s="19"/>
      <c r="B11" s="20"/>
      <c r="C11" s="19"/>
      <c r="D11" s="19"/>
      <c r="E11" s="19"/>
      <c r="F11" s="19"/>
      <c r="G11" s="3"/>
      <c r="H11" s="23"/>
    </row>
    <row r="12" spans="1:9" x14ac:dyDescent="0.35">
      <c r="A12" s="3"/>
      <c r="B12" s="14"/>
      <c r="C12" s="3"/>
      <c r="D12" s="3"/>
      <c r="E12" s="3"/>
      <c r="F12" s="3"/>
      <c r="G12" s="3"/>
      <c r="H12" s="23"/>
    </row>
    <row r="13" spans="1:9" x14ac:dyDescent="0.35">
      <c r="A13" s="3"/>
      <c r="B13" s="14"/>
      <c r="C13" s="3"/>
      <c r="D13" s="3"/>
      <c r="E13" s="3"/>
      <c r="F13" s="3"/>
      <c r="G13" s="3"/>
      <c r="H13" s="23"/>
    </row>
    <row r="14" spans="1:9" x14ac:dyDescent="0.35">
      <c r="A14" s="3"/>
      <c r="B14" s="14"/>
      <c r="C14" s="3"/>
      <c r="D14" s="3"/>
      <c r="E14" s="3"/>
      <c r="F14" s="3"/>
      <c r="G14" s="3"/>
      <c r="H14" s="23"/>
    </row>
    <row r="15" spans="1:9" x14ac:dyDescent="0.35">
      <c r="A15" s="3"/>
      <c r="B15" s="14"/>
      <c r="C15" s="3"/>
      <c r="D15" s="3"/>
      <c r="E15" s="3"/>
      <c r="F15" s="3"/>
      <c r="G15" s="3"/>
      <c r="H15" s="23"/>
    </row>
    <row r="16" spans="1:9" x14ac:dyDescent="0.35">
      <c r="A16" s="3"/>
      <c r="B16" s="14"/>
      <c r="C16" s="3"/>
      <c r="D16" s="3"/>
      <c r="E16" s="3"/>
      <c r="F16" s="3"/>
      <c r="G16" s="3"/>
      <c r="H16" s="23"/>
    </row>
    <row r="17" spans="1:8" x14ac:dyDescent="0.35">
      <c r="A17" s="3"/>
      <c r="B17" s="14"/>
      <c r="C17" s="3"/>
      <c r="D17" s="3"/>
      <c r="E17" s="3"/>
      <c r="F17" s="3"/>
      <c r="G17" s="3"/>
      <c r="H17" s="23"/>
    </row>
    <row r="18" spans="1:8" x14ac:dyDescent="0.35">
      <c r="A18" s="3"/>
      <c r="B18" s="14"/>
      <c r="C18" s="3"/>
      <c r="D18" s="3"/>
      <c r="E18" s="3"/>
      <c r="F18" s="3"/>
      <c r="G18" s="3"/>
      <c r="H18" s="23"/>
    </row>
    <row r="19" spans="1:8" x14ac:dyDescent="0.35">
      <c r="A19" s="3"/>
      <c r="B19" s="14"/>
      <c r="C19" s="3"/>
      <c r="D19" s="3"/>
      <c r="E19" s="3"/>
      <c r="F19" s="3"/>
      <c r="G19" s="3"/>
      <c r="H19" s="23"/>
    </row>
    <row r="20" spans="1:8" x14ac:dyDescent="0.35">
      <c r="A20" s="3"/>
      <c r="B20" s="14"/>
      <c r="C20" s="3"/>
      <c r="D20" s="3"/>
      <c r="E20" s="3"/>
      <c r="F20" s="3"/>
      <c r="G20" s="3"/>
      <c r="H20" s="23"/>
    </row>
    <row r="21" spans="1:8" x14ac:dyDescent="0.35">
      <c r="A21" s="3"/>
      <c r="B21" s="14"/>
      <c r="C21" s="3"/>
      <c r="D21" s="3"/>
      <c r="E21" s="3"/>
      <c r="F21" s="3"/>
      <c r="G21" s="3"/>
      <c r="H21" s="23"/>
    </row>
    <row r="22" spans="1:8" x14ac:dyDescent="0.35">
      <c r="B22" s="15"/>
      <c r="H22" s="25"/>
    </row>
    <row r="23" spans="1:8" x14ac:dyDescent="0.35">
      <c r="B23" s="15"/>
    </row>
    <row r="24" spans="1:8" x14ac:dyDescent="0.35">
      <c r="B24" s="15"/>
    </row>
    <row r="25" spans="1:8" x14ac:dyDescent="0.35">
      <c r="B25" s="15"/>
    </row>
    <row r="26" spans="1:8" x14ac:dyDescent="0.35">
      <c r="B26" s="15"/>
    </row>
    <row r="27" spans="1:8" x14ac:dyDescent="0.35">
      <c r="B27" s="15"/>
    </row>
    <row r="28" spans="1:8" x14ac:dyDescent="0.35">
      <c r="B28" s="15"/>
    </row>
    <row r="29" spans="1:8" x14ac:dyDescent="0.35">
      <c r="B29" s="15"/>
    </row>
    <row r="30" spans="1:8" x14ac:dyDescent="0.35">
      <c r="B30" s="15"/>
    </row>
    <row r="31" spans="1:8" x14ac:dyDescent="0.35">
      <c r="B31" s="15"/>
    </row>
    <row r="32" spans="1:8" x14ac:dyDescent="0.35">
      <c r="B32" s="15"/>
    </row>
    <row r="33" spans="2:2" x14ac:dyDescent="0.35">
      <c r="B33" s="15"/>
    </row>
    <row r="34" spans="2:2" x14ac:dyDescent="0.35">
      <c r="B34" s="15"/>
    </row>
    <row r="35" spans="2:2" x14ac:dyDescent="0.35">
      <c r="B35" s="15"/>
    </row>
    <row r="36" spans="2:2" x14ac:dyDescent="0.35">
      <c r="B36" s="15"/>
    </row>
    <row r="37" spans="2:2" x14ac:dyDescent="0.35">
      <c r="B37" s="15"/>
    </row>
    <row r="38" spans="2:2" x14ac:dyDescent="0.35">
      <c r="B38" s="15"/>
    </row>
    <row r="39" spans="2:2" x14ac:dyDescent="0.35">
      <c r="B39" s="15"/>
    </row>
    <row r="40" spans="2:2" x14ac:dyDescent="0.35">
      <c r="B40" s="15"/>
    </row>
    <row r="41" spans="2:2" x14ac:dyDescent="0.35">
      <c r="B41" s="15"/>
    </row>
    <row r="42" spans="2:2" x14ac:dyDescent="0.35">
      <c r="B42" s="15"/>
    </row>
    <row r="43" spans="2:2" x14ac:dyDescent="0.35">
      <c r="B43" s="15"/>
    </row>
    <row r="44" spans="2:2" x14ac:dyDescent="0.35">
      <c r="B44" s="15"/>
    </row>
    <row r="45" spans="2:2" x14ac:dyDescent="0.35">
      <c r="B45" s="15"/>
    </row>
    <row r="46" spans="2:2" x14ac:dyDescent="0.35">
      <c r="B46" s="15"/>
    </row>
    <row r="47" spans="2:2" x14ac:dyDescent="0.35">
      <c r="B47" s="15"/>
    </row>
    <row r="48" spans="2:2" x14ac:dyDescent="0.35">
      <c r="B48" s="15"/>
    </row>
    <row r="49" spans="2:2" x14ac:dyDescent="0.35">
      <c r="B49" s="15"/>
    </row>
    <row r="50" spans="2:2" x14ac:dyDescent="0.35">
      <c r="B50" s="15"/>
    </row>
    <row r="51" spans="2:2" x14ac:dyDescent="0.35">
      <c r="B51" s="15"/>
    </row>
    <row r="52" spans="2:2" x14ac:dyDescent="0.35">
      <c r="B52" s="15"/>
    </row>
    <row r="53" spans="2:2" x14ac:dyDescent="0.35">
      <c r="B53" s="15"/>
    </row>
    <row r="54" spans="2:2" x14ac:dyDescent="0.35">
      <c r="B54" s="15"/>
    </row>
    <row r="55" spans="2:2" x14ac:dyDescent="0.35">
      <c r="B55" s="15"/>
    </row>
    <row r="56" spans="2:2" x14ac:dyDescent="0.35">
      <c r="B56" s="15"/>
    </row>
    <row r="57" spans="2:2" x14ac:dyDescent="0.35">
      <c r="B57" s="15"/>
    </row>
    <row r="58" spans="2:2" x14ac:dyDescent="0.35">
      <c r="B58" s="15"/>
    </row>
    <row r="59" spans="2:2" x14ac:dyDescent="0.35">
      <c r="B59" s="15"/>
    </row>
    <row r="60" spans="2:2" x14ac:dyDescent="0.35">
      <c r="B60" s="15"/>
    </row>
    <row r="61" spans="2:2" x14ac:dyDescent="0.35">
      <c r="B61" s="15"/>
    </row>
    <row r="62" spans="2:2" x14ac:dyDescent="0.35">
      <c r="B62" s="15"/>
    </row>
    <row r="63" spans="2:2" x14ac:dyDescent="0.35">
      <c r="B63" s="15"/>
    </row>
    <row r="64" spans="2:2" x14ac:dyDescent="0.35">
      <c r="B64" s="15"/>
    </row>
    <row r="65" spans="2:2" x14ac:dyDescent="0.35">
      <c r="B65" s="15"/>
    </row>
    <row r="66" spans="2:2" x14ac:dyDescent="0.35">
      <c r="B66" s="15"/>
    </row>
    <row r="67" spans="2:2" x14ac:dyDescent="0.35">
      <c r="B67" s="15"/>
    </row>
    <row r="68" spans="2:2" x14ac:dyDescent="0.35">
      <c r="B68" s="15"/>
    </row>
    <row r="69" spans="2:2" x14ac:dyDescent="0.35">
      <c r="B69" s="15"/>
    </row>
    <row r="70" spans="2:2" x14ac:dyDescent="0.35">
      <c r="B70" s="15"/>
    </row>
    <row r="71" spans="2:2" x14ac:dyDescent="0.35">
      <c r="B71" s="15"/>
    </row>
    <row r="72" spans="2:2" x14ac:dyDescent="0.35">
      <c r="B72" s="15"/>
    </row>
    <row r="73" spans="2:2" x14ac:dyDescent="0.35">
      <c r="B73" s="15"/>
    </row>
    <row r="74" spans="2:2" x14ac:dyDescent="0.35">
      <c r="B74" s="15"/>
    </row>
    <row r="75" spans="2:2" x14ac:dyDescent="0.35">
      <c r="B75" s="15"/>
    </row>
    <row r="76" spans="2:2" x14ac:dyDescent="0.35">
      <c r="B76" s="15"/>
    </row>
    <row r="77" spans="2:2" x14ac:dyDescent="0.35">
      <c r="B77" s="15"/>
    </row>
    <row r="78" spans="2:2" x14ac:dyDescent="0.35">
      <c r="B78" s="15"/>
    </row>
    <row r="79" spans="2:2" x14ac:dyDescent="0.35">
      <c r="B79" s="15"/>
    </row>
    <row r="80" spans="2:2" x14ac:dyDescent="0.35">
      <c r="B80" s="15"/>
    </row>
    <row r="81" spans="2:2" x14ac:dyDescent="0.35">
      <c r="B81" s="15"/>
    </row>
    <row r="82" spans="2:2" x14ac:dyDescent="0.35">
      <c r="B82" s="15"/>
    </row>
    <row r="83" spans="2:2" x14ac:dyDescent="0.35">
      <c r="B83" s="15"/>
    </row>
    <row r="84" spans="2:2" x14ac:dyDescent="0.35">
      <c r="B84" s="15"/>
    </row>
    <row r="85" spans="2:2" x14ac:dyDescent="0.35">
      <c r="B85" s="15"/>
    </row>
    <row r="86" spans="2:2" x14ac:dyDescent="0.35">
      <c r="B86" s="15"/>
    </row>
    <row r="87" spans="2:2" x14ac:dyDescent="0.35">
      <c r="B87" s="15"/>
    </row>
    <row r="88" spans="2:2" x14ac:dyDescent="0.35">
      <c r="B88" s="15"/>
    </row>
    <row r="89" spans="2:2" x14ac:dyDescent="0.35">
      <c r="B89" s="15"/>
    </row>
    <row r="90" spans="2:2" x14ac:dyDescent="0.35">
      <c r="B90" s="15"/>
    </row>
    <row r="91" spans="2:2" x14ac:dyDescent="0.35">
      <c r="B91" s="15"/>
    </row>
    <row r="92" spans="2:2" x14ac:dyDescent="0.35">
      <c r="B92" s="15"/>
    </row>
    <row r="93" spans="2:2" x14ac:dyDescent="0.35">
      <c r="B93" s="15"/>
    </row>
    <row r="94" spans="2:2" x14ac:dyDescent="0.35">
      <c r="B94" s="15"/>
    </row>
    <row r="95" spans="2:2" x14ac:dyDescent="0.35">
      <c r="B95" s="15"/>
    </row>
    <row r="96" spans="2:2" x14ac:dyDescent="0.35">
      <c r="B96" s="15"/>
    </row>
    <row r="97" spans="2:2" x14ac:dyDescent="0.35">
      <c r="B97" s="15"/>
    </row>
    <row r="98" spans="2:2" x14ac:dyDescent="0.35">
      <c r="B98" s="15"/>
    </row>
    <row r="99" spans="2:2" x14ac:dyDescent="0.35">
      <c r="B99" s="15"/>
    </row>
    <row r="100" spans="2:2" x14ac:dyDescent="0.35">
      <c r="B100" s="15"/>
    </row>
    <row r="101" spans="2:2" x14ac:dyDescent="0.35">
      <c r="B101" s="15"/>
    </row>
    <row r="102" spans="2:2" x14ac:dyDescent="0.35">
      <c r="B102" s="15"/>
    </row>
    <row r="103" spans="2:2" x14ac:dyDescent="0.35">
      <c r="B103" s="15"/>
    </row>
    <row r="104" spans="2:2" x14ac:dyDescent="0.35">
      <c r="B104" s="15"/>
    </row>
    <row r="105" spans="2:2" x14ac:dyDescent="0.35">
      <c r="B105" s="15"/>
    </row>
    <row r="106" spans="2:2" x14ac:dyDescent="0.35">
      <c r="B106" s="15"/>
    </row>
    <row r="107" spans="2:2" x14ac:dyDescent="0.35">
      <c r="B107" s="15"/>
    </row>
    <row r="108" spans="2:2" x14ac:dyDescent="0.35">
      <c r="B108" s="15"/>
    </row>
    <row r="109" spans="2:2" x14ac:dyDescent="0.35">
      <c r="B109" s="15"/>
    </row>
    <row r="110" spans="2:2" x14ac:dyDescent="0.35">
      <c r="B110" s="15"/>
    </row>
    <row r="111" spans="2:2" x14ac:dyDescent="0.35">
      <c r="B111" s="15"/>
    </row>
    <row r="112" spans="2:2" x14ac:dyDescent="0.35">
      <c r="B112" s="15"/>
    </row>
    <row r="113" spans="2:2" x14ac:dyDescent="0.35">
      <c r="B113" s="15"/>
    </row>
    <row r="114" spans="2:2" x14ac:dyDescent="0.35">
      <c r="B114" s="15"/>
    </row>
    <row r="115" spans="2:2" x14ac:dyDescent="0.35">
      <c r="B115" s="15"/>
    </row>
    <row r="116" spans="2:2" x14ac:dyDescent="0.35">
      <c r="B116" s="15"/>
    </row>
    <row r="117" spans="2:2" x14ac:dyDescent="0.35">
      <c r="B117" s="15"/>
    </row>
    <row r="118" spans="2:2" x14ac:dyDescent="0.35">
      <c r="B118" s="15"/>
    </row>
    <row r="119" spans="2:2" x14ac:dyDescent="0.35">
      <c r="B119" s="15"/>
    </row>
  </sheetData>
  <autoFilter ref="A2:H2" xr:uid="{00000000-0001-0000-0100-000000000000}"/>
  <conditionalFormatting sqref="A3:C3 E3:F3">
    <cfRule type="colorScale" priority="18">
      <colorScale>
        <cfvo type="min"/>
        <cfvo type="max"/>
        <color rgb="FF63BE7B"/>
        <color rgb="FFFCFCFF"/>
      </colorScale>
    </cfRule>
  </conditionalFormatting>
  <conditionalFormatting sqref="E3">
    <cfRule type="cellIs" dxfId="11" priority="13" operator="equal">
      <formula>"Færdig"</formula>
    </cfRule>
    <cfRule type="iconSet" priority="14">
      <iconSet>
        <cfvo type="percent" val="0"/>
        <cfvo type="percent" val="33"/>
        <cfvo type="percent" val="67"/>
      </iconSet>
    </cfRule>
    <cfRule type="cellIs" priority="15" operator="equal">
      <formula>"Færdig"</formula>
    </cfRule>
    <cfRule type="colorScale" priority="16">
      <colorScale>
        <cfvo type="min"/>
        <cfvo type="max"/>
        <color rgb="FFFCFCFF"/>
        <color rgb="FF63BE7B"/>
      </colorScale>
    </cfRule>
    <cfRule type="containsText" priority="17" operator="containsText" text="Færdig">
      <formula>NOT(ISERROR(SEARCH("Færdig",E3)))</formula>
    </cfRule>
  </conditionalFormatting>
  <conditionalFormatting sqref="E3:E111">
    <cfRule type="containsText" dxfId="10" priority="5" operator="containsText" text="Ikke startet">
      <formula>NOT(ISERROR(SEARCH("Ikke startet",E3)))</formula>
    </cfRule>
  </conditionalFormatting>
  <conditionalFormatting sqref="E3:E113">
    <cfRule type="containsText" dxfId="9" priority="1" operator="containsText" text="I gang">
      <formula>NOT(ISERROR(SEARCH("I gang",E3)))</formula>
    </cfRule>
    <cfRule type="containsText" dxfId="8" priority="3" operator="containsText" text="Udsat">
      <formula>NOT(ISERROR(SEARCH("Udsat",E3)))</formula>
    </cfRule>
    <cfRule type="containsText" dxfId="7" priority="4" operator="containsText" text="Planlagt">
      <formula>NOT(ISERROR(SEARCH("Planlagt",E3)))</formula>
    </cfRule>
    <cfRule type="containsText" dxfId="6" priority="6" operator="containsText" text="Udsat">
      <formula>NOT(ISERROR(SEARCH("Udsat",E3)))</formula>
    </cfRule>
    <cfRule type="containsText" dxfId="5" priority="8" operator="containsText" text="Færdig">
      <formula>NOT(ISERROR(SEARCH("Færdig",E3)))</formula>
    </cfRule>
  </conditionalFormatting>
  <conditionalFormatting sqref="E3:E115">
    <cfRule type="containsText" dxfId="4" priority="2" operator="containsText" text="Igang">
      <formula>NOT(ISERROR(SEARCH("Igang",E3)))</formula>
    </cfRule>
  </conditionalFormatting>
  <conditionalFormatting sqref="E3:E118">
    <cfRule type="cellIs" dxfId="3" priority="10" operator="equal">
      <formula>"Igang"</formula>
    </cfRule>
  </conditionalFormatting>
  <conditionalFormatting sqref="E4:E5">
    <cfRule type="cellIs" dxfId="2" priority="7" operator="equal">
      <formula>"Udsat"</formula>
    </cfRule>
  </conditionalFormatting>
  <conditionalFormatting sqref="E4:E111">
    <cfRule type="containsText" dxfId="1" priority="9" operator="containsText" text="Igang">
      <formula>NOT(ISERROR(SEARCH("Igang",E4)))</formula>
    </cfRule>
  </conditionalFormatting>
  <conditionalFormatting sqref="E6">
    <cfRule type="cellIs" dxfId="0" priority="11" operator="equal">
      <formula>"Ikke startet"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01C6F0-5525-4153-A123-D2AFF064874B}">
          <x14:formula1>
            <xm:f>Tabeller!$B$3:$B$8</xm:f>
          </x14:formula1>
          <xm:sqref>E3:E21</xm:sqref>
        </x14:dataValidation>
        <x14:dataValidation type="list" allowBlank="1" showInputMessage="1" showErrorMessage="1" xr:uid="{F1CDA66C-3739-4501-A9F5-F1920D946333}">
          <x14:formula1>
            <xm:f>Ugekapacitet!$A$2:$A$54</xm:f>
          </x14:formula1>
          <xm:sqref>C3:C21 F3:F113</xm:sqref>
        </x14:dataValidation>
        <x14:dataValidation type="list" allowBlank="1" showInputMessage="1" showErrorMessage="1" xr:uid="{A353E410-09C3-4E1D-81C7-5AA4D6EE8112}">
          <x14:formula1>
            <xm:f>Tabeller!$A$3:$A$6</xm:f>
          </x14:formula1>
          <xm:sqref>D3:D21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"/>
  <sheetViews>
    <sheetView workbookViewId="0">
      <selection activeCell="E12" sqref="E12"/>
    </sheetView>
  </sheetViews>
  <sheetFormatPr defaultRowHeight="14.5" x14ac:dyDescent="0.35"/>
  <cols>
    <col min="3" max="3" width="16.1796875" bestFit="1" customWidth="1"/>
    <col min="4" max="4" width="17.1796875" customWidth="1"/>
    <col min="5" max="5" width="12.1796875" bestFit="1" customWidth="1"/>
  </cols>
  <sheetData>
    <row r="1" spans="1:4" x14ac:dyDescent="0.35">
      <c r="A1" s="1" t="s">
        <v>12</v>
      </c>
      <c r="B1" s="1" t="s">
        <v>27</v>
      </c>
      <c r="C1" s="1" t="s">
        <v>28</v>
      </c>
      <c r="D1" s="1" t="s">
        <v>84</v>
      </c>
    </row>
    <row r="2" spans="1:4" x14ac:dyDescent="0.35">
      <c r="A2" t="s">
        <v>29</v>
      </c>
      <c r="B2">
        <v>37</v>
      </c>
      <c r="C2">
        <v>37</v>
      </c>
      <c r="D2">
        <f>(B2-C2)*Kapacitet!B$7</f>
        <v>0</v>
      </c>
    </row>
    <row r="3" spans="1:4" x14ac:dyDescent="0.35">
      <c r="A3" t="s">
        <v>30</v>
      </c>
      <c r="B3">
        <v>37</v>
      </c>
      <c r="C3">
        <v>37</v>
      </c>
      <c r="D3">
        <f>(B3-C3)*Kapacitet!B$7</f>
        <v>0</v>
      </c>
    </row>
    <row r="4" spans="1:4" x14ac:dyDescent="0.35">
      <c r="A4" t="s">
        <v>31</v>
      </c>
      <c r="B4">
        <v>37</v>
      </c>
      <c r="C4">
        <v>33</v>
      </c>
      <c r="D4">
        <f>(B4-C4)*Kapacitet!B$7</f>
        <v>3</v>
      </c>
    </row>
    <row r="5" spans="1:4" x14ac:dyDescent="0.35">
      <c r="A5" t="s">
        <v>4</v>
      </c>
      <c r="B5">
        <v>37</v>
      </c>
      <c r="C5">
        <v>31</v>
      </c>
      <c r="D5">
        <f>(B5-C5)*Kapacitet!B$7</f>
        <v>4.5</v>
      </c>
    </row>
    <row r="6" spans="1:4" x14ac:dyDescent="0.35">
      <c r="A6" t="s">
        <v>32</v>
      </c>
      <c r="B6">
        <v>37</v>
      </c>
      <c r="C6">
        <f>B6-12</f>
        <v>25</v>
      </c>
      <c r="D6">
        <f>(B6-C6)*Kapacitet!B$7</f>
        <v>9</v>
      </c>
    </row>
    <row r="7" spans="1:4" x14ac:dyDescent="0.35">
      <c r="A7" t="s">
        <v>33</v>
      </c>
      <c r="B7">
        <v>37</v>
      </c>
      <c r="C7">
        <f>B7-21</f>
        <v>16</v>
      </c>
      <c r="D7">
        <f>(B7-C7)*Kapacitet!B$7</f>
        <v>15.75</v>
      </c>
    </row>
    <row r="8" spans="1:4" x14ac:dyDescent="0.35">
      <c r="A8" t="s">
        <v>34</v>
      </c>
      <c r="B8">
        <v>37</v>
      </c>
      <c r="C8">
        <f>B8-21.5</f>
        <v>15.5</v>
      </c>
      <c r="D8">
        <f>(B8-C8)*Kapacitet!B$7</f>
        <v>16.125</v>
      </c>
    </row>
    <row r="9" spans="1:4" x14ac:dyDescent="0.35">
      <c r="A9" t="s">
        <v>35</v>
      </c>
      <c r="B9">
        <v>37</v>
      </c>
      <c r="C9">
        <f>B9-25</f>
        <v>12</v>
      </c>
      <c r="D9">
        <f>(B9-C9)*Kapacitet!B$7</f>
        <v>18.75</v>
      </c>
    </row>
    <row r="10" spans="1:4" x14ac:dyDescent="0.35">
      <c r="A10" t="s">
        <v>36</v>
      </c>
      <c r="B10">
        <v>37</v>
      </c>
      <c r="C10">
        <f>B10-30</f>
        <v>7</v>
      </c>
      <c r="D10">
        <f>(B10-C10-Kapacitet!B4)*Kapacitet!B$7</f>
        <v>15</v>
      </c>
    </row>
    <row r="11" spans="1:4" x14ac:dyDescent="0.35">
      <c r="A11" t="s">
        <v>37</v>
      </c>
      <c r="B11">
        <v>37</v>
      </c>
      <c r="C11">
        <f>B11-35</f>
        <v>2</v>
      </c>
      <c r="D11">
        <f>(B11-C11-Kapacitet!B4)*Kapacitet!B$7</f>
        <v>18.75</v>
      </c>
    </row>
    <row r="12" spans="1:4" x14ac:dyDescent="0.35">
      <c r="A12" t="s">
        <v>38</v>
      </c>
      <c r="B12">
        <v>37</v>
      </c>
      <c r="C12">
        <v>0</v>
      </c>
      <c r="D12">
        <f>(B12-C12-Kapacitet!B4)*Kapacitet!B$7</f>
        <v>20.25</v>
      </c>
    </row>
    <row r="13" spans="1:4" x14ac:dyDescent="0.35">
      <c r="A13" t="s">
        <v>39</v>
      </c>
      <c r="B13">
        <v>37</v>
      </c>
      <c r="C13">
        <f>B13-37</f>
        <v>0</v>
      </c>
      <c r="D13">
        <f>(B13-C13-Kapacitet!B4)*Kapacitet!B$7</f>
        <v>20.25</v>
      </c>
    </row>
    <row r="14" spans="1:4" x14ac:dyDescent="0.35">
      <c r="A14" t="s">
        <v>40</v>
      </c>
      <c r="B14">
        <v>37</v>
      </c>
      <c r="C14">
        <f>B14-0</f>
        <v>37</v>
      </c>
      <c r="D14">
        <f>(B14-C14)*Kapacitet!B$7</f>
        <v>0</v>
      </c>
    </row>
    <row r="15" spans="1:4" x14ac:dyDescent="0.35">
      <c r="A15" t="s">
        <v>41</v>
      </c>
      <c r="B15">
        <v>37</v>
      </c>
      <c r="C15">
        <f>B16-15</f>
        <v>22</v>
      </c>
      <c r="D15">
        <f>(B15-C15)*Kapacitet!B$7</f>
        <v>11.25</v>
      </c>
    </row>
    <row r="16" spans="1:4" x14ac:dyDescent="0.35">
      <c r="A16" t="s">
        <v>42</v>
      </c>
      <c r="B16">
        <v>37</v>
      </c>
      <c r="C16">
        <v>37</v>
      </c>
      <c r="D16">
        <f>(B16-C16)*Kapacitet!B$7</f>
        <v>0</v>
      </c>
    </row>
    <row r="17" spans="1:4" x14ac:dyDescent="0.35">
      <c r="A17" t="s">
        <v>43</v>
      </c>
      <c r="B17">
        <v>37</v>
      </c>
      <c r="C17">
        <v>0</v>
      </c>
      <c r="D17">
        <f>(B17-C17-Kapacitet!B4)*Kapacitet!B$7</f>
        <v>20.25</v>
      </c>
    </row>
    <row r="18" spans="1:4" x14ac:dyDescent="0.35">
      <c r="A18" t="s">
        <v>44</v>
      </c>
      <c r="B18">
        <v>37</v>
      </c>
      <c r="C18">
        <v>0</v>
      </c>
      <c r="D18">
        <f>(B18-C18-Kapacitet!B4)*Kapacitet!B$7</f>
        <v>20.25</v>
      </c>
    </row>
    <row r="19" spans="1:4" x14ac:dyDescent="0.35">
      <c r="A19" t="s">
        <v>45</v>
      </c>
      <c r="B19">
        <v>37</v>
      </c>
      <c r="C19">
        <v>0</v>
      </c>
      <c r="D19">
        <f>(B19-C19-Kapacitet!B4)*Kapacitet!B$7</f>
        <v>20.25</v>
      </c>
    </row>
    <row r="20" spans="1:4" x14ac:dyDescent="0.35">
      <c r="A20" t="s">
        <v>46</v>
      </c>
      <c r="B20">
        <v>37</v>
      </c>
      <c r="C20">
        <v>0</v>
      </c>
      <c r="D20">
        <f>(B20-C20-Kapacitet!B$4)*Kapacitet!B$7</f>
        <v>20.25</v>
      </c>
    </row>
    <row r="21" spans="1:4" x14ac:dyDescent="0.35">
      <c r="A21" t="s">
        <v>47</v>
      </c>
      <c r="B21">
        <v>37</v>
      </c>
      <c r="C21">
        <v>15</v>
      </c>
      <c r="D21">
        <f>(B21-C21-Kapacitet!B$4)*Kapacitet!B$7</f>
        <v>9</v>
      </c>
    </row>
    <row r="22" spans="1:4" x14ac:dyDescent="0.35">
      <c r="A22" t="s">
        <v>48</v>
      </c>
      <c r="B22">
        <v>37</v>
      </c>
      <c r="C22">
        <v>0</v>
      </c>
      <c r="D22">
        <f>(B22-C22-Kapacitet!B$4)*Kapacitet!B$7</f>
        <v>20.25</v>
      </c>
    </row>
    <row r="23" spans="1:4" x14ac:dyDescent="0.35">
      <c r="A23" t="s">
        <v>49</v>
      </c>
      <c r="B23">
        <v>37</v>
      </c>
      <c r="C23">
        <v>37</v>
      </c>
      <c r="D23">
        <f>(B23-C23-Kapacitet!B$4)*Kapacitet!B$7</f>
        <v>-7.5</v>
      </c>
    </row>
    <row r="24" spans="1:4" x14ac:dyDescent="0.35">
      <c r="A24" t="s">
        <v>50</v>
      </c>
      <c r="B24">
        <v>37</v>
      </c>
      <c r="C24">
        <v>7.5</v>
      </c>
      <c r="D24">
        <f>(B24-C24-Kapacitet!B$4)*Kapacitet!B$7</f>
        <v>14.625</v>
      </c>
    </row>
    <row r="25" spans="1:4" x14ac:dyDescent="0.35">
      <c r="A25" t="s">
        <v>51</v>
      </c>
      <c r="B25">
        <v>37</v>
      </c>
      <c r="C25">
        <v>0</v>
      </c>
      <c r="D25">
        <f>(B25-C25-Kapacitet!B$4)*Kapacitet!B$7</f>
        <v>20.25</v>
      </c>
    </row>
    <row r="26" spans="1:4" x14ac:dyDescent="0.35">
      <c r="A26" t="s">
        <v>52</v>
      </c>
      <c r="B26">
        <v>37</v>
      </c>
      <c r="C26">
        <v>0</v>
      </c>
      <c r="D26">
        <f>(B26-C26-Kapacitet!B$4)*Kapacitet!B$7</f>
        <v>20.25</v>
      </c>
    </row>
    <row r="27" spans="1:4" x14ac:dyDescent="0.35">
      <c r="A27" t="s">
        <v>53</v>
      </c>
      <c r="B27">
        <v>37</v>
      </c>
      <c r="C27">
        <v>0</v>
      </c>
      <c r="D27">
        <f>(B27-C27-Kapacitet!B$4)*Kapacitet!B$7</f>
        <v>20.25</v>
      </c>
    </row>
    <row r="28" spans="1:4" x14ac:dyDescent="0.35">
      <c r="A28" t="s">
        <v>54</v>
      </c>
      <c r="B28">
        <v>37</v>
      </c>
      <c r="C28">
        <v>0</v>
      </c>
      <c r="D28">
        <f>(B28-C28-Kapacitet!B$4)*Kapacitet!B$7</f>
        <v>20.25</v>
      </c>
    </row>
    <row r="29" spans="1:4" x14ac:dyDescent="0.35">
      <c r="A29" t="s">
        <v>55</v>
      </c>
      <c r="B29">
        <v>37</v>
      </c>
      <c r="C29">
        <v>37</v>
      </c>
      <c r="D29">
        <f>(B29-C29)*Kapacitet!B$7</f>
        <v>0</v>
      </c>
    </row>
    <row r="30" spans="1:4" x14ac:dyDescent="0.35">
      <c r="A30" t="s">
        <v>56</v>
      </c>
      <c r="B30">
        <v>37</v>
      </c>
      <c r="C30">
        <f t="shared" ref="C30:C31" si="0">B30-0</f>
        <v>37</v>
      </c>
      <c r="D30">
        <f>(B30-C30)*Kapacitet!B$7</f>
        <v>0</v>
      </c>
    </row>
    <row r="31" spans="1:4" x14ac:dyDescent="0.35">
      <c r="A31" t="s">
        <v>57</v>
      </c>
      <c r="B31">
        <v>37</v>
      </c>
      <c r="C31">
        <f t="shared" si="0"/>
        <v>37</v>
      </c>
      <c r="D31">
        <f>(B31-C31)*Kapacitet!B$7</f>
        <v>0</v>
      </c>
    </row>
    <row r="32" spans="1:4" x14ac:dyDescent="0.35">
      <c r="A32" t="s">
        <v>58</v>
      </c>
      <c r="B32">
        <v>37</v>
      </c>
      <c r="C32">
        <v>0</v>
      </c>
      <c r="D32">
        <f>(B32-C32-Kapacitet!B$4)*Kapacitet!B$7</f>
        <v>20.25</v>
      </c>
    </row>
    <row r="33" spans="1:4" x14ac:dyDescent="0.35">
      <c r="A33" t="s">
        <v>59</v>
      </c>
      <c r="B33">
        <v>37</v>
      </c>
      <c r="C33">
        <v>0</v>
      </c>
      <c r="D33">
        <f>(B33-C33-Kapacitet!B$4)*Kapacitet!B$7</f>
        <v>20.25</v>
      </c>
    </row>
    <row r="34" spans="1:4" x14ac:dyDescent="0.35">
      <c r="A34" t="s">
        <v>60</v>
      </c>
      <c r="B34">
        <v>37</v>
      </c>
      <c r="C34">
        <v>0</v>
      </c>
      <c r="D34">
        <f>(B34-C34-Kapacitet!B$4)*Kapacitet!B$7</f>
        <v>20.25</v>
      </c>
    </row>
    <row r="35" spans="1:4" x14ac:dyDescent="0.35">
      <c r="A35" t="s">
        <v>61</v>
      </c>
      <c r="B35">
        <v>37</v>
      </c>
      <c r="C35">
        <v>0</v>
      </c>
      <c r="D35">
        <f>(B35-C35-Kapacitet!B$4)*Kapacitet!B$7</f>
        <v>20.25</v>
      </c>
    </row>
    <row r="36" spans="1:4" x14ac:dyDescent="0.35">
      <c r="A36" t="s">
        <v>62</v>
      </c>
      <c r="B36">
        <v>37</v>
      </c>
      <c r="C36">
        <v>0</v>
      </c>
      <c r="D36">
        <f>(B36-C36-Kapacitet!B$4)*Kapacitet!B$7</f>
        <v>20.25</v>
      </c>
    </row>
    <row r="37" spans="1:4" x14ac:dyDescent="0.35">
      <c r="A37" t="s">
        <v>63</v>
      </c>
      <c r="B37">
        <v>37</v>
      </c>
      <c r="C37">
        <v>0</v>
      </c>
      <c r="D37">
        <f>(B37-C37-Kapacitet!B$4)*Kapacitet!B$7</f>
        <v>20.25</v>
      </c>
    </row>
    <row r="38" spans="1:4" x14ac:dyDescent="0.35">
      <c r="A38" t="s">
        <v>64</v>
      </c>
      <c r="B38">
        <v>37</v>
      </c>
      <c r="C38">
        <v>0</v>
      </c>
      <c r="D38">
        <f>(B38-C38-Kapacitet!B$4)*Kapacitet!B$7</f>
        <v>20.25</v>
      </c>
    </row>
    <row r="39" spans="1:4" x14ac:dyDescent="0.35">
      <c r="A39" t="s">
        <v>65</v>
      </c>
      <c r="B39">
        <v>37</v>
      </c>
      <c r="C39">
        <v>0</v>
      </c>
      <c r="D39">
        <f>(B39-C39-Kapacitet!B$4)*Kapacitet!B$7</f>
        <v>20.25</v>
      </c>
    </row>
    <row r="40" spans="1:4" x14ac:dyDescent="0.35">
      <c r="A40" t="s">
        <v>66</v>
      </c>
      <c r="B40">
        <v>37</v>
      </c>
      <c r="C40">
        <v>0</v>
      </c>
      <c r="D40">
        <f>(B40-C40-Kapacitet!B$4)*Kapacitet!B$7</f>
        <v>20.25</v>
      </c>
    </row>
    <row r="41" spans="1:4" x14ac:dyDescent="0.35">
      <c r="A41" t="s">
        <v>67</v>
      </c>
      <c r="B41">
        <v>37</v>
      </c>
      <c r="C41">
        <v>0</v>
      </c>
      <c r="D41">
        <f>(B41-C41-Kapacitet!B$4)*Kapacitet!B$7</f>
        <v>20.25</v>
      </c>
    </row>
    <row r="42" spans="1:4" x14ac:dyDescent="0.35">
      <c r="A42" t="s">
        <v>68</v>
      </c>
      <c r="B42">
        <v>37</v>
      </c>
      <c r="C42">
        <v>0</v>
      </c>
      <c r="D42">
        <f>(B42-C42-Kapacitet!B$4)*Kapacitet!B$7</f>
        <v>20.25</v>
      </c>
    </row>
    <row r="43" spans="1:4" x14ac:dyDescent="0.35">
      <c r="A43" t="s">
        <v>69</v>
      </c>
      <c r="B43">
        <v>37</v>
      </c>
      <c r="C43">
        <v>0</v>
      </c>
      <c r="D43">
        <f>(B43-C43-Kapacitet!B$4)*Kapacitet!B$7</f>
        <v>20.25</v>
      </c>
    </row>
    <row r="44" spans="1:4" x14ac:dyDescent="0.35">
      <c r="A44" t="s">
        <v>70</v>
      </c>
      <c r="B44">
        <v>37</v>
      </c>
      <c r="C44">
        <v>0</v>
      </c>
      <c r="D44">
        <f>(B44-C44-Kapacitet!B$4)*Kapacitet!B$7</f>
        <v>20.25</v>
      </c>
    </row>
    <row r="45" spans="1:4" x14ac:dyDescent="0.35">
      <c r="A45" t="s">
        <v>71</v>
      </c>
      <c r="B45">
        <v>37</v>
      </c>
      <c r="C45">
        <v>0</v>
      </c>
      <c r="D45">
        <f>(B45-C45-Kapacitet!B$4)*Kapacitet!B$7</f>
        <v>20.25</v>
      </c>
    </row>
    <row r="46" spans="1:4" x14ac:dyDescent="0.35">
      <c r="A46" t="s">
        <v>72</v>
      </c>
      <c r="B46">
        <v>37</v>
      </c>
      <c r="C46">
        <v>0</v>
      </c>
      <c r="D46">
        <f>(B46-C46-Kapacitet!B$4)*Kapacitet!B$7</f>
        <v>20.25</v>
      </c>
    </row>
    <row r="47" spans="1:4" x14ac:dyDescent="0.35">
      <c r="A47" t="s">
        <v>73</v>
      </c>
      <c r="B47">
        <v>37</v>
      </c>
      <c r="C47">
        <v>0</v>
      </c>
      <c r="D47">
        <f>(B47-C47-Kapacitet!B$4)*Kapacitet!B$7</f>
        <v>20.25</v>
      </c>
    </row>
    <row r="48" spans="1:4" x14ac:dyDescent="0.35">
      <c r="A48" t="s">
        <v>74</v>
      </c>
      <c r="B48">
        <v>37</v>
      </c>
      <c r="C48">
        <v>0</v>
      </c>
      <c r="D48">
        <f>(B48-C48-Kapacitet!B$4)*Kapacitet!B$7</f>
        <v>20.25</v>
      </c>
    </row>
    <row r="49" spans="1:4" x14ac:dyDescent="0.35">
      <c r="A49" t="s">
        <v>75</v>
      </c>
      <c r="B49">
        <v>37</v>
      </c>
      <c r="C49">
        <v>0</v>
      </c>
      <c r="D49">
        <f>(B49-C49-Kapacitet!B$4)*Kapacitet!B$7</f>
        <v>20.25</v>
      </c>
    </row>
    <row r="50" spans="1:4" x14ac:dyDescent="0.35">
      <c r="A50" t="s">
        <v>76</v>
      </c>
      <c r="B50">
        <v>37</v>
      </c>
      <c r="C50">
        <v>0</v>
      </c>
      <c r="D50">
        <f>(B50-C50-Kapacitet!B$4)*Kapacitet!B$7</f>
        <v>20.25</v>
      </c>
    </row>
    <row r="51" spans="1:4" x14ac:dyDescent="0.35">
      <c r="A51" t="s">
        <v>77</v>
      </c>
      <c r="B51">
        <v>37</v>
      </c>
      <c r="C51">
        <v>0</v>
      </c>
      <c r="D51">
        <f>(B51-C51-Kapacitet!B$4)*Kapacitet!B$7</f>
        <v>20.25</v>
      </c>
    </row>
    <row r="52" spans="1:4" x14ac:dyDescent="0.35">
      <c r="A52" t="s">
        <v>78</v>
      </c>
      <c r="B52">
        <v>37</v>
      </c>
      <c r="C52">
        <v>0</v>
      </c>
      <c r="D52">
        <f>(B52-C52-Kapacitet!B$4)*Kapacitet!B$7</f>
        <v>20.25</v>
      </c>
    </row>
    <row r="53" spans="1:4" x14ac:dyDescent="0.35">
      <c r="A53" t="s">
        <v>79</v>
      </c>
      <c r="B53">
        <v>37</v>
      </c>
      <c r="C53">
        <v>0</v>
      </c>
      <c r="D53">
        <f>(B53-C53-Kapacitet!B$4)*Kapacitet!B$7</f>
        <v>20.25</v>
      </c>
    </row>
    <row r="54" spans="1:4" x14ac:dyDescent="0.35">
      <c r="A54" t="s">
        <v>83</v>
      </c>
      <c r="B54">
        <v>37</v>
      </c>
      <c r="C54">
        <v>0</v>
      </c>
      <c r="D54">
        <f>(B54-C54-Kapacitet!B$4)*Kapacitet!B$7</f>
        <v>20.25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opLeftCell="A4" workbookViewId="0">
      <selection activeCell="A4" sqref="A4"/>
    </sheetView>
  </sheetViews>
  <sheetFormatPr defaultRowHeight="14.5" x14ac:dyDescent="0.35"/>
  <cols>
    <col min="1" max="1" width="10.54296875" customWidth="1"/>
    <col min="2" max="2" width="10" customWidth="1"/>
  </cols>
  <sheetData>
    <row r="1" spans="1:2" x14ac:dyDescent="0.35">
      <c r="A1" s="9" t="s">
        <v>80</v>
      </c>
    </row>
    <row r="2" spans="1:2" x14ac:dyDescent="0.35">
      <c r="A2" s="1" t="s">
        <v>13</v>
      </c>
      <c r="B2" s="1" t="s">
        <v>8</v>
      </c>
    </row>
    <row r="3" spans="1:2" x14ac:dyDescent="0.35">
      <c r="B3" s="1"/>
    </row>
    <row r="4" spans="1:2" x14ac:dyDescent="0.35">
      <c r="A4">
        <v>1</v>
      </c>
      <c r="B4" t="s">
        <v>16</v>
      </c>
    </row>
    <row r="5" spans="1:2" x14ac:dyDescent="0.35">
      <c r="A5">
        <v>2</v>
      </c>
      <c r="B5" t="s">
        <v>15</v>
      </c>
    </row>
    <row r="6" spans="1:2" x14ac:dyDescent="0.35">
      <c r="A6">
        <v>3</v>
      </c>
      <c r="B6" t="s">
        <v>14</v>
      </c>
    </row>
    <row r="7" spans="1:2" x14ac:dyDescent="0.35">
      <c r="B7" t="s">
        <v>81</v>
      </c>
    </row>
    <row r="8" spans="1:2" x14ac:dyDescent="0.35">
      <c r="B8" t="s">
        <v>82</v>
      </c>
    </row>
  </sheetData>
  <conditionalFormatting sqref="B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4" sqref="B4"/>
    </sheetView>
  </sheetViews>
  <sheetFormatPr defaultRowHeight="14.5" x14ac:dyDescent="0.35"/>
  <cols>
    <col min="1" max="1" width="19.453125" bestFit="1" customWidth="1"/>
  </cols>
  <sheetData>
    <row r="1" spans="1:2" x14ac:dyDescent="0.35">
      <c r="A1" s="1" t="s">
        <v>19</v>
      </c>
    </row>
    <row r="2" spans="1:2" x14ac:dyDescent="0.35">
      <c r="A2" s="1" t="s">
        <v>20</v>
      </c>
      <c r="B2" s="10" t="s">
        <v>21</v>
      </c>
    </row>
    <row r="3" spans="1:2" x14ac:dyDescent="0.35">
      <c r="A3" t="s">
        <v>22</v>
      </c>
      <c r="B3">
        <f>37+2.5</f>
        <v>39.5</v>
      </c>
    </row>
    <row r="4" spans="1:2" x14ac:dyDescent="0.35">
      <c r="A4" t="s">
        <v>86</v>
      </c>
      <c r="B4">
        <v>10</v>
      </c>
    </row>
    <row r="5" spans="1:2" x14ac:dyDescent="0.35">
      <c r="A5" t="s">
        <v>23</v>
      </c>
      <c r="B5">
        <v>2.5</v>
      </c>
    </row>
    <row r="6" spans="1:2" x14ac:dyDescent="0.35">
      <c r="A6" s="11" t="s">
        <v>24</v>
      </c>
      <c r="B6" s="11">
        <f>B3-B5-B4</f>
        <v>27</v>
      </c>
    </row>
    <row r="7" spans="1:2" x14ac:dyDescent="0.35">
      <c r="A7" t="s">
        <v>25</v>
      </c>
      <c r="B7" s="2">
        <v>0.75</v>
      </c>
    </row>
    <row r="8" spans="1:2" x14ac:dyDescent="0.35">
      <c r="A8" t="s">
        <v>26</v>
      </c>
      <c r="B8" s="2">
        <f>B6*B7</f>
        <v>20.25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2fa62c-375a-410a-b552-7d83649aa9a8">
      <Terms xmlns="http://schemas.microsoft.com/office/infopath/2007/PartnerControls"/>
    </lcf76f155ced4ddcb4097134ff3c332f>
    <TaxCatchAll xmlns="eaa8256a-9534-4ae9-9e18-b090c5cef9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E2822B71750A4B842FD19CE0C3976F" ma:contentTypeVersion="13" ma:contentTypeDescription="Opret et nyt dokument." ma:contentTypeScope="" ma:versionID="9607577505843d045c184a6386ca636d">
  <xsd:schema xmlns:xsd="http://www.w3.org/2001/XMLSchema" xmlns:xs="http://www.w3.org/2001/XMLSchema" xmlns:p="http://schemas.microsoft.com/office/2006/metadata/properties" xmlns:ns2="432fa62c-375a-410a-b552-7d83649aa9a8" xmlns:ns3="eaa8256a-9534-4ae9-9e18-b090c5cef979" targetNamespace="http://schemas.microsoft.com/office/2006/metadata/properties" ma:root="true" ma:fieldsID="cc7175dff6862adac533111afe8b1727" ns2:_="" ns3:_="">
    <xsd:import namespace="432fa62c-375a-410a-b552-7d83649aa9a8"/>
    <xsd:import namespace="eaa8256a-9534-4ae9-9e18-b090c5cef9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fa62c-375a-410a-b552-7d83649aa9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e28c8c29-7381-40a1-9454-d1ddd45ab2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8256a-9534-4ae9-9e18-b090c5cef9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bdb6fc-9ee5-4893-a54a-30c7e65249d0}" ma:internalName="TaxCatchAll" ma:showField="CatchAllData" ma:web="eaa8256a-9534-4ae9-9e18-b090c5cef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480199-C7DD-48C9-A6B6-AB7A50551052}">
  <ds:schemaRefs>
    <ds:schemaRef ds:uri="http://purl.org/dc/elements/1.1/"/>
    <ds:schemaRef ds:uri="eaa8256a-9534-4ae9-9e18-b090c5cef979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432fa62c-375a-410a-b552-7d83649aa9a8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C865E14-BA57-4E84-922E-4B56EAAD65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C4E8B-B6BF-497D-8903-CDE1CBE81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2fa62c-375a-410a-b552-7d83649aa9a8"/>
    <ds:schemaRef ds:uri="eaa8256a-9534-4ae9-9e18-b090c5cef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Mit overblik</vt:lpstr>
      <vt:lpstr>Mine opgaver</vt:lpstr>
      <vt:lpstr>Ugekapacitet</vt:lpstr>
      <vt:lpstr>Tabeller</vt:lpstr>
      <vt:lpstr>Kapacitet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Ditte Mi Petræus - Vetgruppen VQ</dc:creator>
  <cp:lastModifiedBy>Ditte Mi Petræus - Vetgruppen VQ</cp:lastModifiedBy>
  <dcterms:created xsi:type="dcterms:W3CDTF">2026-01-22T12:43:21Z</dcterms:created>
  <dcterms:modified xsi:type="dcterms:W3CDTF">2026-03-09T10:13:42Z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0x010100D1E2822B71750A4B842FD19CE0C3976F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